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anj\Desktop\worldcup-betting\"/>
    </mc:Choice>
  </mc:AlternateContent>
  <xr:revisionPtr revIDLastSave="0" documentId="13_ncr:1_{4C5B0A16-4232-421F-A1BF-31583FB02A97}" xr6:coauthVersionLast="47" xr6:coauthVersionMax="47" xr10:uidLastSave="{00000000-0000-0000-0000-000000000000}"/>
  <bookViews>
    <workbookView xWindow="-108" yWindow="-13068" windowWidth="23256" windowHeight="12456" activeTab="1" xr2:uid="{C09E0143-236E-47C5-9D28-849AD855BD11}"/>
  </bookViews>
  <sheets>
    <sheet name="Sheet1" sheetId="1" r:id="rId1"/>
    <sheet name="Sheet4" sheetId="5" r:id="rId2"/>
    <sheet name="Sheet3" sheetId="3" r:id="rId3"/>
    <sheet name="Sheet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" i="5" l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" i="5"/>
</calcChain>
</file>

<file path=xl/sharedStrings.xml><?xml version="1.0" encoding="utf-8"?>
<sst xmlns="http://schemas.openxmlformats.org/spreadsheetml/2006/main" count="470" uniqueCount="158">
  <si>
    <t>round_name</t>
  </si>
  <si>
    <t>match_number</t>
  </si>
  <si>
    <t>date</t>
  </si>
  <si>
    <t>venue</t>
  </si>
  <si>
    <t>next_match_id</t>
  </si>
  <si>
    <t>is_home_in_next</t>
  </si>
  <si>
    <t>Boston</t>
  </si>
  <si>
    <t>M89</t>
  </si>
  <si>
    <t>New Jersey</t>
  </si>
  <si>
    <t>Los Angeles</t>
  </si>
  <si>
    <t>Quarterfinal</t>
  </si>
  <si>
    <t>Semifinal</t>
  </si>
  <si>
    <t>Third Place</t>
  </si>
  <si>
    <t>Final</t>
  </si>
  <si>
    <t>2A</t>
  </si>
  <si>
    <t>2B</t>
  </si>
  <si>
    <t>1C</t>
  </si>
  <si>
    <t>2F</t>
  </si>
  <si>
    <t>1E</t>
  </si>
  <si>
    <t>3ABCDF</t>
  </si>
  <si>
    <t>1F</t>
  </si>
  <si>
    <t>2C</t>
  </si>
  <si>
    <t>2E</t>
  </si>
  <si>
    <t>2I</t>
  </si>
  <si>
    <t>1I</t>
  </si>
  <si>
    <t>3CDFGH</t>
  </si>
  <si>
    <t>1A</t>
  </si>
  <si>
    <t>3CEFHI</t>
  </si>
  <si>
    <t>1L</t>
  </si>
  <si>
    <t>3EHIJK</t>
  </si>
  <si>
    <t>1G</t>
  </si>
  <si>
    <t>3AEHIJ</t>
  </si>
  <si>
    <t>1D</t>
  </si>
  <si>
    <t>3BEFIJ</t>
  </si>
  <si>
    <t>1H</t>
  </si>
  <si>
    <t>2J</t>
  </si>
  <si>
    <t>2K</t>
  </si>
  <si>
    <t>2L</t>
  </si>
  <si>
    <t>1B</t>
  </si>
  <si>
    <t>3EFGIJ</t>
  </si>
  <si>
    <t>2D</t>
  </si>
  <si>
    <t>2G</t>
  </si>
  <si>
    <t>1J</t>
  </si>
  <si>
    <t>2H</t>
  </si>
  <si>
    <t>1K</t>
  </si>
  <si>
    <t>3DEIJL</t>
  </si>
  <si>
    <t>Monterrey</t>
  </si>
  <si>
    <t>Toronto</t>
  </si>
  <si>
    <t>San Francisco Bay Area</t>
  </si>
  <si>
    <t>Seattle</t>
  </si>
  <si>
    <t>Houston</t>
  </si>
  <si>
    <t>Dallas</t>
  </si>
  <si>
    <t>Mexico City</t>
  </si>
  <si>
    <t>Atlanta</t>
  </si>
  <si>
    <t>Miami</t>
  </si>
  <si>
    <t>Vancouver</t>
  </si>
  <si>
    <t>Kansas City</t>
  </si>
  <si>
    <t>Philadelphia</t>
  </si>
  <si>
    <t>home_placeholder</t>
  </si>
  <si>
    <t>away_placeholder</t>
  </si>
  <si>
    <t>Round of 32</t>
  </si>
  <si>
    <t>Round of 16</t>
  </si>
  <si>
    <t>M74</t>
  </si>
  <si>
    <t>M77</t>
  </si>
  <si>
    <t>M73</t>
  </si>
  <si>
    <t>M75</t>
  </si>
  <si>
    <t>M83</t>
  </si>
  <si>
    <t>M84</t>
  </si>
  <si>
    <t>M81</t>
  </si>
  <si>
    <t>M82</t>
  </si>
  <si>
    <t>M76</t>
  </si>
  <si>
    <t>M78</t>
  </si>
  <si>
    <t>M79</t>
  </si>
  <si>
    <t>M80</t>
  </si>
  <si>
    <t>M86</t>
  </si>
  <si>
    <t>M88</t>
  </si>
  <si>
    <t>M85</t>
  </si>
  <si>
    <t>M87</t>
  </si>
  <si>
    <t>M90</t>
  </si>
  <si>
    <t>M93</t>
  </si>
  <si>
    <t>M94</t>
  </si>
  <si>
    <t>M91</t>
  </si>
  <si>
    <t>M92</t>
  </si>
  <si>
    <t>M95</t>
  </si>
  <si>
    <t>M96</t>
  </si>
  <si>
    <t>M97</t>
  </si>
  <si>
    <t>M98</t>
  </si>
  <si>
    <t>M99</t>
  </si>
  <si>
    <t>M100</t>
  </si>
  <si>
    <t>M101</t>
  </si>
  <si>
    <t>M102</t>
  </si>
  <si>
    <t>M103</t>
  </si>
  <si>
    <t>M104</t>
  </si>
  <si>
    <t/>
  </si>
  <si>
    <t>id</t>
  </si>
  <si>
    <t>roundname</t>
  </si>
  <si>
    <t>matchnumber</t>
  </si>
  <si>
    <t>homeplaceholder</t>
  </si>
  <si>
    <t>awayplaceholder</t>
  </si>
  <si>
    <t>team1</t>
  </si>
  <si>
    <t>team2</t>
  </si>
  <si>
    <t>team1code</t>
  </si>
  <si>
    <t>team2code</t>
  </si>
  <si>
    <t>homescore</t>
  </si>
  <si>
    <t>awayscore</t>
  </si>
  <si>
    <t>homepenalty</t>
  </si>
  <si>
    <t>awaypenalty</t>
  </si>
  <si>
    <t>winner</t>
  </si>
  <si>
    <t>winner_code</t>
  </si>
  <si>
    <t>iscompleted</t>
  </si>
  <si>
    <t>nextmatchid</t>
  </si>
  <si>
    <t>ishomeinnext</t>
  </si>
  <si>
    <t>Round</t>
  </si>
  <si>
    <t>Match</t>
  </si>
  <si>
    <t>Team1</t>
  </si>
  <si>
    <t>Team2</t>
  </si>
  <si>
    <t>Score</t>
  </si>
  <si>
    <t>Winner</t>
  </si>
  <si>
    <t>Next ID</t>
  </si>
  <si>
    <t>-</t>
  </si>
  <si>
    <t>Bosn. &amp; Herz.</t>
  </si>
  <si>
    <t>Argentina</t>
  </si>
  <si>
    <t>Knockout Debug View</t>
  </si>
  <si>
    <t>Czech Rep.</t>
  </si>
  <si>
    <t>Belgium</t>
  </si>
  <si>
    <t>Brazil</t>
  </si>
  <si>
    <t>France</t>
  </si>
  <si>
    <t>Egypt</t>
  </si>
  <si>
    <t>Mexico</t>
  </si>
  <si>
    <t>South Africa</t>
  </si>
  <si>
    <t>Rep. of Korea</t>
  </si>
  <si>
    <t>Canada</t>
  </si>
  <si>
    <t>USA</t>
  </si>
  <si>
    <t>Paraguay</t>
  </si>
  <si>
    <t>Morocco</t>
  </si>
  <si>
    <t>Qatar</t>
  </si>
  <si>
    <t>Switzerland</t>
  </si>
  <si>
    <t>Haiti</t>
  </si>
  <si>
    <t>Scotland</t>
  </si>
  <si>
    <t>Australia</t>
  </si>
  <si>
    <t>Turkey</t>
  </si>
  <si>
    <t>Netherlands</t>
  </si>
  <si>
    <t>Japan</t>
  </si>
  <si>
    <t>Ivory Coast</t>
  </si>
  <si>
    <t>Ecuador</t>
  </si>
  <si>
    <t>Sweden</t>
  </si>
  <si>
    <t>Tunisia</t>
  </si>
  <si>
    <t>Spain</t>
  </si>
  <si>
    <t>Cape Verde</t>
  </si>
  <si>
    <t>Saudi Arabia</t>
  </si>
  <si>
    <t>Uruguay</t>
  </si>
  <si>
    <t>IR Iran</t>
  </si>
  <si>
    <t>New Zealand</t>
  </si>
  <si>
    <t>Senegal</t>
  </si>
  <si>
    <t>update knockout_match set team1 = '</t>
  </si>
  <si>
    <t>;</t>
  </si>
  <si>
    <t>', team2 ='</t>
  </si>
  <si>
    <t xml:space="preserve">' where match_number =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</si>
</sst>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 mmm\ hh:mm\ AM/PM"/>
  </numFmts>
  <fonts count="1" x14ac:knownFonts="1"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84A2-455E-4447-85AE-48AEED1E61BF}">
  <dimension ref="A1:F33"/>
  <sheetViews>
    <sheetView workbookViewId="0">
      <selection activeCell="B29" sqref="B29"/>
    </sheetView>
  </sheetViews>
  <sheetFormatPr defaultRowHeight="13.8" x14ac:dyDescent="0.25"/>
  <cols>
    <col min="1" max="1" width="10.8984375" bestFit="1" customWidth="1"/>
    <col min="2" max="2" width="12.69921875" bestFit="1" customWidth="1"/>
    <col min="3" max="3" width="14.5" style="1" bestFit="1" customWidth="1"/>
    <col min="4" max="4" width="10.69921875" bestFit="1" customWidth="1"/>
    <col min="5" max="5" width="12.3984375" bestFit="1" customWidth="1"/>
    <col min="6" max="6" width="14.3984375" bestFit="1" customWidth="1"/>
  </cols>
  <sheetData>
    <row r="1" spans="1:6" x14ac:dyDescent="0.25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60</v>
      </c>
      <c r="B2" t="s">
        <v>62</v>
      </c>
      <c r="C2" s="1">
        <v>46203.1875</v>
      </c>
      <c r="D2" t="s">
        <v>6</v>
      </c>
      <c r="E2" t="s">
        <v>7</v>
      </c>
      <c r="F2">
        <v>1</v>
      </c>
    </row>
    <row r="3" spans="1:6" x14ac:dyDescent="0.25">
      <c r="A3" t="s">
        <v>60</v>
      </c>
      <c r="B3" t="s">
        <v>63</v>
      </c>
      <c r="C3" s="1">
        <v>46204.208333333336</v>
      </c>
      <c r="D3" t="s">
        <v>8</v>
      </c>
      <c r="E3" t="s">
        <v>7</v>
      </c>
      <c r="F3">
        <v>0</v>
      </c>
    </row>
    <row r="4" spans="1:6" x14ac:dyDescent="0.25">
      <c r="A4" t="s">
        <v>60</v>
      </c>
      <c r="B4" t="s">
        <v>64</v>
      </c>
      <c r="C4" s="1">
        <v>46202.125</v>
      </c>
      <c r="D4" t="s">
        <v>9</v>
      </c>
      <c r="E4" t="s">
        <v>78</v>
      </c>
      <c r="F4">
        <v>1</v>
      </c>
    </row>
    <row r="5" spans="1:6" x14ac:dyDescent="0.25">
      <c r="A5" t="s">
        <v>60</v>
      </c>
      <c r="B5" t="s">
        <v>65</v>
      </c>
      <c r="C5" s="1">
        <v>46203.375</v>
      </c>
      <c r="D5" t="s">
        <v>46</v>
      </c>
      <c r="E5" t="s">
        <v>78</v>
      </c>
      <c r="F5">
        <v>0</v>
      </c>
    </row>
    <row r="6" spans="1:6" x14ac:dyDescent="0.25">
      <c r="A6" t="s">
        <v>60</v>
      </c>
      <c r="B6" t="s">
        <v>66</v>
      </c>
      <c r="C6" s="1">
        <v>46206.291666666664</v>
      </c>
      <c r="D6" t="s">
        <v>47</v>
      </c>
      <c r="E6" t="s">
        <v>79</v>
      </c>
      <c r="F6">
        <v>1</v>
      </c>
    </row>
    <row r="7" spans="1:6" x14ac:dyDescent="0.25">
      <c r="A7" t="s">
        <v>60</v>
      </c>
      <c r="B7" t="s">
        <v>67</v>
      </c>
      <c r="C7" s="1">
        <v>46206.125</v>
      </c>
      <c r="D7" t="s">
        <v>9</v>
      </c>
      <c r="E7" t="s">
        <v>79</v>
      </c>
      <c r="F7">
        <v>0</v>
      </c>
    </row>
    <row r="8" spans="1:6" x14ac:dyDescent="0.25">
      <c r="A8" t="s">
        <v>60</v>
      </c>
      <c r="B8" t="s">
        <v>68</v>
      </c>
      <c r="C8" s="1">
        <v>46205.333333333336</v>
      </c>
      <c r="D8" t="s">
        <v>48</v>
      </c>
      <c r="E8" t="s">
        <v>80</v>
      </c>
      <c r="F8">
        <v>1</v>
      </c>
    </row>
    <row r="9" spans="1:6" x14ac:dyDescent="0.25">
      <c r="A9" t="s">
        <v>60</v>
      </c>
      <c r="B9" t="s">
        <v>69</v>
      </c>
      <c r="C9" s="1">
        <v>46205.166666666664</v>
      </c>
      <c r="D9" t="s">
        <v>49</v>
      </c>
      <c r="E9" t="s">
        <v>80</v>
      </c>
      <c r="F9">
        <v>0</v>
      </c>
    </row>
    <row r="10" spans="1:6" x14ac:dyDescent="0.25">
      <c r="A10" t="s">
        <v>60</v>
      </c>
      <c r="B10" t="s">
        <v>70</v>
      </c>
      <c r="C10" s="1">
        <v>46203.041666666664</v>
      </c>
      <c r="D10" t="s">
        <v>50</v>
      </c>
      <c r="E10" t="s">
        <v>81</v>
      </c>
      <c r="F10">
        <v>1</v>
      </c>
    </row>
    <row r="11" spans="1:6" x14ac:dyDescent="0.25">
      <c r="A11" t="s">
        <v>60</v>
      </c>
      <c r="B11" t="s">
        <v>71</v>
      </c>
      <c r="C11" s="1">
        <v>45839.041666666664</v>
      </c>
      <c r="D11" t="s">
        <v>51</v>
      </c>
      <c r="E11" t="s">
        <v>81</v>
      </c>
      <c r="F11">
        <v>0</v>
      </c>
    </row>
    <row r="12" spans="1:6" x14ac:dyDescent="0.25">
      <c r="A12" t="s">
        <v>60</v>
      </c>
      <c r="B12" t="s">
        <v>72</v>
      </c>
      <c r="C12" s="1">
        <v>46204.375</v>
      </c>
      <c r="D12" t="s">
        <v>52</v>
      </c>
      <c r="E12" t="s">
        <v>82</v>
      </c>
      <c r="F12">
        <v>1</v>
      </c>
    </row>
    <row r="13" spans="1:6" x14ac:dyDescent="0.25">
      <c r="A13" t="s">
        <v>60</v>
      </c>
      <c r="B13" t="s">
        <v>73</v>
      </c>
      <c r="C13" s="1">
        <v>46205</v>
      </c>
      <c r="D13" t="s">
        <v>53</v>
      </c>
      <c r="E13" t="s">
        <v>82</v>
      </c>
      <c r="F13">
        <v>0</v>
      </c>
    </row>
    <row r="14" spans="1:6" x14ac:dyDescent="0.25">
      <c r="A14" t="s">
        <v>60</v>
      </c>
      <c r="B14" t="s">
        <v>74</v>
      </c>
      <c r="C14" s="1">
        <v>46207.25</v>
      </c>
      <c r="D14" t="s">
        <v>54</v>
      </c>
      <c r="E14" t="s">
        <v>83</v>
      </c>
      <c r="F14">
        <v>1</v>
      </c>
    </row>
    <row r="15" spans="1:6" x14ac:dyDescent="0.25">
      <c r="A15" t="s">
        <v>60</v>
      </c>
      <c r="B15" t="s">
        <v>75</v>
      </c>
      <c r="C15" s="1">
        <v>46207.083333333336</v>
      </c>
      <c r="D15" t="s">
        <v>51</v>
      </c>
      <c r="E15" t="s">
        <v>83</v>
      </c>
      <c r="F15">
        <v>0</v>
      </c>
    </row>
    <row r="16" spans="1:6" x14ac:dyDescent="0.25">
      <c r="A16" t="s">
        <v>60</v>
      </c>
      <c r="B16" t="s">
        <v>76</v>
      </c>
      <c r="C16" s="1">
        <v>46206.458333333336</v>
      </c>
      <c r="D16" t="s">
        <v>55</v>
      </c>
      <c r="E16" t="s">
        <v>84</v>
      </c>
      <c r="F16">
        <v>1</v>
      </c>
    </row>
    <row r="17" spans="1:6" x14ac:dyDescent="0.25">
      <c r="A17" t="s">
        <v>60</v>
      </c>
      <c r="B17" t="s">
        <v>77</v>
      </c>
      <c r="C17" s="1">
        <v>46207.395833333336</v>
      </c>
      <c r="D17" t="s">
        <v>56</v>
      </c>
      <c r="E17" t="s">
        <v>84</v>
      </c>
      <c r="F17">
        <v>0</v>
      </c>
    </row>
    <row r="18" spans="1:6" x14ac:dyDescent="0.25">
      <c r="A18" t="s">
        <v>61</v>
      </c>
      <c r="B18" t="s">
        <v>7</v>
      </c>
      <c r="C18" s="1">
        <v>46208.208333333336</v>
      </c>
      <c r="D18" t="s">
        <v>57</v>
      </c>
      <c r="E18" t="s">
        <v>85</v>
      </c>
      <c r="F18">
        <v>1</v>
      </c>
    </row>
    <row r="19" spans="1:6" x14ac:dyDescent="0.25">
      <c r="A19" t="s">
        <v>61</v>
      </c>
      <c r="B19" t="s">
        <v>78</v>
      </c>
      <c r="C19" s="1">
        <v>46208.041666666664</v>
      </c>
      <c r="D19" t="s">
        <v>50</v>
      </c>
      <c r="E19" t="s">
        <v>85</v>
      </c>
      <c r="F19">
        <v>0</v>
      </c>
    </row>
    <row r="20" spans="1:6" x14ac:dyDescent="0.25">
      <c r="A20" t="s">
        <v>61</v>
      </c>
      <c r="B20" t="s">
        <v>79</v>
      </c>
      <c r="C20" s="1">
        <v>46210.125</v>
      </c>
      <c r="D20" t="s">
        <v>51</v>
      </c>
      <c r="E20" t="s">
        <v>86</v>
      </c>
      <c r="F20">
        <v>1</v>
      </c>
    </row>
    <row r="21" spans="1:6" x14ac:dyDescent="0.25">
      <c r="A21" t="s">
        <v>61</v>
      </c>
      <c r="B21" t="s">
        <v>80</v>
      </c>
      <c r="C21" s="1">
        <v>46210.333333333336</v>
      </c>
      <c r="D21" t="s">
        <v>49</v>
      </c>
      <c r="E21" t="s">
        <v>86</v>
      </c>
      <c r="F21">
        <v>0</v>
      </c>
    </row>
    <row r="22" spans="1:6" x14ac:dyDescent="0.25">
      <c r="A22" t="s">
        <v>61</v>
      </c>
      <c r="B22" t="s">
        <v>81</v>
      </c>
      <c r="C22" s="1">
        <v>46209.166666666664</v>
      </c>
      <c r="D22" t="s">
        <v>8</v>
      </c>
      <c r="E22" t="s">
        <v>87</v>
      </c>
      <c r="F22">
        <v>1</v>
      </c>
    </row>
    <row r="23" spans="1:6" x14ac:dyDescent="0.25">
      <c r="A23" t="s">
        <v>61</v>
      </c>
      <c r="B23" t="s">
        <v>82</v>
      </c>
      <c r="C23" s="1">
        <v>46209.333333333336</v>
      </c>
      <c r="D23" t="s">
        <v>52</v>
      </c>
      <c r="E23" t="s">
        <v>87</v>
      </c>
      <c r="F23">
        <v>0</v>
      </c>
    </row>
    <row r="24" spans="1:6" x14ac:dyDescent="0.25">
      <c r="A24" t="s">
        <v>61</v>
      </c>
      <c r="B24" t="s">
        <v>83</v>
      </c>
      <c r="C24" s="1">
        <v>46211</v>
      </c>
      <c r="D24" t="s">
        <v>53</v>
      </c>
      <c r="E24" t="s">
        <v>88</v>
      </c>
      <c r="F24">
        <v>1</v>
      </c>
    </row>
    <row r="25" spans="1:6" x14ac:dyDescent="0.25">
      <c r="A25" t="s">
        <v>61</v>
      </c>
      <c r="B25" t="s">
        <v>84</v>
      </c>
      <c r="C25" s="1">
        <v>46211.166666666664</v>
      </c>
      <c r="D25" t="s">
        <v>55</v>
      </c>
      <c r="E25" t="s">
        <v>88</v>
      </c>
      <c r="F25">
        <v>0</v>
      </c>
    </row>
    <row r="26" spans="1:6" x14ac:dyDescent="0.25">
      <c r="A26" t="s">
        <v>10</v>
      </c>
      <c r="B26" t="s">
        <v>85</v>
      </c>
      <c r="C26" s="1">
        <v>46213.166666666664</v>
      </c>
      <c r="D26" t="s">
        <v>6</v>
      </c>
      <c r="E26" t="s">
        <v>89</v>
      </c>
      <c r="F26">
        <v>1</v>
      </c>
    </row>
    <row r="27" spans="1:6" x14ac:dyDescent="0.25">
      <c r="A27" t="s">
        <v>10</v>
      </c>
      <c r="B27" t="s">
        <v>86</v>
      </c>
      <c r="C27" s="1">
        <v>46214.125</v>
      </c>
      <c r="D27" t="s">
        <v>9</v>
      </c>
      <c r="E27" t="s">
        <v>89</v>
      </c>
      <c r="F27">
        <v>0</v>
      </c>
    </row>
    <row r="28" spans="1:6" x14ac:dyDescent="0.25">
      <c r="A28" t="s">
        <v>10</v>
      </c>
      <c r="B28" t="s">
        <v>87</v>
      </c>
      <c r="C28" s="1">
        <v>46215.208333333336</v>
      </c>
      <c r="D28" t="s">
        <v>54</v>
      </c>
      <c r="E28" t="s">
        <v>90</v>
      </c>
      <c r="F28">
        <v>1</v>
      </c>
    </row>
    <row r="29" spans="1:6" x14ac:dyDescent="0.25">
      <c r="A29" t="s">
        <v>10</v>
      </c>
      <c r="B29" t="s">
        <v>88</v>
      </c>
      <c r="C29" s="1">
        <v>46215.375</v>
      </c>
      <c r="D29" t="s">
        <v>56</v>
      </c>
      <c r="E29" t="s">
        <v>90</v>
      </c>
      <c r="F29">
        <v>0</v>
      </c>
    </row>
    <row r="30" spans="1:6" x14ac:dyDescent="0.25">
      <c r="A30" t="s">
        <v>11</v>
      </c>
      <c r="B30" t="s">
        <v>89</v>
      </c>
      <c r="C30" s="1">
        <v>46218.125</v>
      </c>
      <c r="D30" t="s">
        <v>51</v>
      </c>
      <c r="E30" t="s">
        <v>92</v>
      </c>
      <c r="F30">
        <v>1</v>
      </c>
    </row>
    <row r="31" spans="1:6" x14ac:dyDescent="0.25">
      <c r="A31" t="s">
        <v>11</v>
      </c>
      <c r="B31" t="s">
        <v>90</v>
      </c>
      <c r="C31" s="1">
        <v>46219.125</v>
      </c>
      <c r="D31" t="s">
        <v>53</v>
      </c>
      <c r="E31" t="s">
        <v>92</v>
      </c>
      <c r="F31">
        <v>0</v>
      </c>
    </row>
    <row r="32" spans="1:6" ht="12.6" customHeight="1" x14ac:dyDescent="0.25">
      <c r="A32" t="s">
        <v>12</v>
      </c>
      <c r="B32" t="s">
        <v>91</v>
      </c>
      <c r="C32" s="1">
        <v>46222.208333333336</v>
      </c>
      <c r="D32" t="s">
        <v>54</v>
      </c>
      <c r="E32" t="s">
        <v>93</v>
      </c>
    </row>
    <row r="33" spans="1:5" x14ac:dyDescent="0.25">
      <c r="A33" t="s">
        <v>13</v>
      </c>
      <c r="B33" t="s">
        <v>92</v>
      </c>
      <c r="C33" s="1">
        <v>46223.125</v>
      </c>
      <c r="D33" t="s">
        <v>8</v>
      </c>
      <c r="E33" t="s">
        <v>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F9CB6-A07B-4313-A0FF-04AEC136526D}">
  <dimension ref="A1:H16"/>
  <sheetViews>
    <sheetView tabSelected="1" workbookViewId="0">
      <selection activeCell="J18" sqref="J18"/>
    </sheetView>
  </sheetViews>
  <sheetFormatPr defaultRowHeight="13.8" x14ac:dyDescent="0.25"/>
  <cols>
    <col min="1" max="1" width="31.09765625" bestFit="1" customWidth="1"/>
    <col min="2" max="2" width="12" bestFit="1" customWidth="1"/>
    <col min="3" max="3" width="9" bestFit="1" customWidth="1"/>
    <col min="4" max="4" width="11.5" bestFit="1" customWidth="1"/>
    <col min="5" max="5" width="21.296875" bestFit="1" customWidth="1"/>
    <col min="6" max="6" width="2.8984375" bestFit="1" customWidth="1"/>
    <col min="7" max="7" width="1.3984375" bestFit="1" customWidth="1"/>
  </cols>
  <sheetData>
    <row r="1" spans="1:8" x14ac:dyDescent="0.25">
      <c r="A1" t="s">
        <v>154</v>
      </c>
      <c r="B1" t="s">
        <v>128</v>
      </c>
      <c r="C1" s="3" t="s">
        <v>156</v>
      </c>
      <c r="D1" t="s">
        <v>141</v>
      </c>
      <c r="E1" s="3" t="s">
        <v>157</v>
      </c>
      <c r="F1">
        <v>74</v>
      </c>
      <c r="G1" t="s">
        <v>155</v>
      </c>
      <c r="H1" t="str">
        <f>_xlfn.CONCAT(A1:G1)</f>
        <v>update knockout_match set team1 = 'Mexico', team2 ='Netherlands' where match_number = 74;</v>
      </c>
    </row>
    <row r="2" spans="1:8" x14ac:dyDescent="0.25">
      <c r="A2" t="s">
        <v>154</v>
      </c>
      <c r="B2" t="s">
        <v>129</v>
      </c>
      <c r="C2" s="3" t="s">
        <v>156</v>
      </c>
      <c r="D2" t="s">
        <v>142</v>
      </c>
      <c r="E2" s="3" t="s">
        <v>157</v>
      </c>
      <c r="F2">
        <v>77</v>
      </c>
      <c r="G2" t="s">
        <v>155</v>
      </c>
      <c r="H2" t="str">
        <f t="shared" ref="H2:H48" si="0">_xlfn.CONCAT(A2:G2)</f>
        <v>update knockout_match set team1 = 'South Africa', team2 ='Japan' where match_number = 77;</v>
      </c>
    </row>
    <row r="3" spans="1:8" x14ac:dyDescent="0.25">
      <c r="A3" t="s">
        <v>154</v>
      </c>
      <c r="B3" t="s">
        <v>130</v>
      </c>
      <c r="C3" s="3" t="s">
        <v>156</v>
      </c>
      <c r="D3" t="s">
        <v>143</v>
      </c>
      <c r="E3" s="3" t="s">
        <v>157</v>
      </c>
      <c r="F3">
        <v>73</v>
      </c>
      <c r="G3" t="s">
        <v>155</v>
      </c>
      <c r="H3" t="str">
        <f t="shared" si="0"/>
        <v>update knockout_match set team1 = 'Rep. of Korea', team2 ='Ivory Coast' where match_number = 73;</v>
      </c>
    </row>
    <row r="4" spans="1:8" x14ac:dyDescent="0.25">
      <c r="A4" t="s">
        <v>154</v>
      </c>
      <c r="B4" t="s">
        <v>123</v>
      </c>
      <c r="C4" s="3" t="s">
        <v>156</v>
      </c>
      <c r="D4" t="s">
        <v>144</v>
      </c>
      <c r="E4" s="3" t="s">
        <v>157</v>
      </c>
      <c r="F4">
        <v>75</v>
      </c>
      <c r="G4" t="s">
        <v>155</v>
      </c>
      <c r="H4" t="str">
        <f t="shared" si="0"/>
        <v>update knockout_match set team1 = 'Czech Rep.', team2 ='Ecuador' where match_number = 75;</v>
      </c>
    </row>
    <row r="5" spans="1:8" x14ac:dyDescent="0.25">
      <c r="A5" t="s">
        <v>154</v>
      </c>
      <c r="B5" t="s">
        <v>131</v>
      </c>
      <c r="C5" s="3" t="s">
        <v>156</v>
      </c>
      <c r="D5" t="s">
        <v>145</v>
      </c>
      <c r="E5" s="3" t="s">
        <v>157</v>
      </c>
      <c r="F5">
        <v>83</v>
      </c>
      <c r="G5" t="s">
        <v>155</v>
      </c>
      <c r="H5" t="str">
        <f t="shared" si="0"/>
        <v>update knockout_match set team1 = 'Canada', team2 ='Sweden' where match_number = 83;</v>
      </c>
    </row>
    <row r="6" spans="1:8" x14ac:dyDescent="0.25">
      <c r="A6" t="s">
        <v>154</v>
      </c>
      <c r="B6" t="s">
        <v>120</v>
      </c>
      <c r="C6" s="3" t="s">
        <v>156</v>
      </c>
      <c r="D6" t="s">
        <v>146</v>
      </c>
      <c r="E6" s="3" t="s">
        <v>157</v>
      </c>
      <c r="F6">
        <v>84</v>
      </c>
      <c r="G6" t="s">
        <v>155</v>
      </c>
      <c r="H6" t="str">
        <f t="shared" si="0"/>
        <v>update knockout_match set team1 = 'Bosn. &amp; Herz.', team2 ='Tunisia' where match_number = 84;</v>
      </c>
    </row>
    <row r="7" spans="1:8" x14ac:dyDescent="0.25">
      <c r="A7" t="s">
        <v>154</v>
      </c>
      <c r="B7" t="s">
        <v>132</v>
      </c>
      <c r="C7" s="3" t="s">
        <v>156</v>
      </c>
      <c r="D7" t="s">
        <v>147</v>
      </c>
      <c r="E7" s="3" t="s">
        <v>157</v>
      </c>
      <c r="F7">
        <v>81</v>
      </c>
      <c r="G7" t="s">
        <v>155</v>
      </c>
      <c r="H7" t="str">
        <f t="shared" si="0"/>
        <v>update knockout_match set team1 = 'USA', team2 ='Spain' where match_number = 81;</v>
      </c>
    </row>
    <row r="8" spans="1:8" x14ac:dyDescent="0.25">
      <c r="A8" t="s">
        <v>154</v>
      </c>
      <c r="B8" t="s">
        <v>133</v>
      </c>
      <c r="C8" s="3" t="s">
        <v>156</v>
      </c>
      <c r="D8" t="s">
        <v>148</v>
      </c>
      <c r="E8" s="3" t="s">
        <v>157</v>
      </c>
      <c r="F8">
        <v>82</v>
      </c>
      <c r="G8" t="s">
        <v>155</v>
      </c>
      <c r="H8" t="str">
        <f t="shared" si="0"/>
        <v>update knockout_match set team1 = 'Paraguay', team2 ='Cape Verde' where match_number = 82;</v>
      </c>
    </row>
    <row r="9" spans="1:8" x14ac:dyDescent="0.25">
      <c r="A9" t="s">
        <v>154</v>
      </c>
      <c r="B9" t="s">
        <v>125</v>
      </c>
      <c r="C9" s="3" t="s">
        <v>156</v>
      </c>
      <c r="D9" t="s">
        <v>124</v>
      </c>
      <c r="E9" s="3" t="s">
        <v>157</v>
      </c>
      <c r="F9">
        <v>76</v>
      </c>
      <c r="G9" t="s">
        <v>155</v>
      </c>
      <c r="H9" t="str">
        <f t="shared" si="0"/>
        <v>update knockout_match set team1 = 'Brazil', team2 ='Belgium' where match_number = 76;</v>
      </c>
    </row>
    <row r="10" spans="1:8" x14ac:dyDescent="0.25">
      <c r="A10" t="s">
        <v>154</v>
      </c>
      <c r="B10" t="s">
        <v>134</v>
      </c>
      <c r="C10" s="3" t="s">
        <v>156</v>
      </c>
      <c r="D10" t="s">
        <v>127</v>
      </c>
      <c r="E10" s="3" t="s">
        <v>157</v>
      </c>
      <c r="F10">
        <v>78</v>
      </c>
      <c r="G10" t="s">
        <v>155</v>
      </c>
      <c r="H10" t="str">
        <f t="shared" si="0"/>
        <v>update knockout_match set team1 = 'Morocco', team2 ='Egypt' where match_number = 78;</v>
      </c>
    </row>
    <row r="11" spans="1:8" x14ac:dyDescent="0.25">
      <c r="A11" t="s">
        <v>154</v>
      </c>
      <c r="B11" t="s">
        <v>135</v>
      </c>
      <c r="C11" s="3" t="s">
        <v>156</v>
      </c>
      <c r="D11" t="s">
        <v>149</v>
      </c>
      <c r="E11" s="3" t="s">
        <v>157</v>
      </c>
      <c r="F11">
        <v>79</v>
      </c>
      <c r="G11" t="s">
        <v>155</v>
      </c>
      <c r="H11" t="str">
        <f t="shared" si="0"/>
        <v>update knockout_match set team1 = 'Qatar', team2 ='Saudi Arabia' where match_number = 79;</v>
      </c>
    </row>
    <row r="12" spans="1:8" x14ac:dyDescent="0.25">
      <c r="A12" t="s">
        <v>154</v>
      </c>
      <c r="B12" t="s">
        <v>136</v>
      </c>
      <c r="C12" s="3" t="s">
        <v>156</v>
      </c>
      <c r="D12" t="s">
        <v>150</v>
      </c>
      <c r="E12" s="3" t="s">
        <v>157</v>
      </c>
      <c r="F12">
        <v>80</v>
      </c>
      <c r="G12" t="s">
        <v>155</v>
      </c>
      <c r="H12" t="str">
        <f t="shared" si="0"/>
        <v>update knockout_match set team1 = 'Switzerland', team2 ='Uruguay' where match_number = 80;</v>
      </c>
    </row>
    <row r="13" spans="1:8" x14ac:dyDescent="0.25">
      <c r="A13" t="s">
        <v>154</v>
      </c>
      <c r="B13" t="s">
        <v>137</v>
      </c>
      <c r="C13" s="3" t="s">
        <v>156</v>
      </c>
      <c r="D13" t="s">
        <v>151</v>
      </c>
      <c r="E13" s="3" t="s">
        <v>157</v>
      </c>
      <c r="F13">
        <v>86</v>
      </c>
      <c r="G13" t="s">
        <v>155</v>
      </c>
      <c r="H13" t="str">
        <f t="shared" si="0"/>
        <v>update knockout_match set team1 = 'Haiti', team2 ='IR Iran' where match_number = 86;</v>
      </c>
    </row>
    <row r="14" spans="1:8" x14ac:dyDescent="0.25">
      <c r="A14" t="s">
        <v>154</v>
      </c>
      <c r="B14" t="s">
        <v>138</v>
      </c>
      <c r="C14" s="3" t="s">
        <v>156</v>
      </c>
      <c r="D14" t="s">
        <v>152</v>
      </c>
      <c r="E14" s="3" t="s">
        <v>157</v>
      </c>
      <c r="F14">
        <v>88</v>
      </c>
      <c r="G14" t="s">
        <v>155</v>
      </c>
      <c r="H14" t="str">
        <f t="shared" si="0"/>
        <v>update knockout_match set team1 = 'Scotland', team2 ='New Zealand' where match_number = 88;</v>
      </c>
    </row>
    <row r="15" spans="1:8" x14ac:dyDescent="0.25">
      <c r="A15" t="s">
        <v>154</v>
      </c>
      <c r="B15" t="s">
        <v>139</v>
      </c>
      <c r="C15" s="3" t="s">
        <v>156</v>
      </c>
      <c r="D15" t="s">
        <v>126</v>
      </c>
      <c r="E15" s="3" t="s">
        <v>157</v>
      </c>
      <c r="F15">
        <v>85</v>
      </c>
      <c r="G15" t="s">
        <v>155</v>
      </c>
      <c r="H15" t="str">
        <f t="shared" si="0"/>
        <v>update knockout_match set team1 = 'Australia', team2 ='France' where match_number = 85;</v>
      </c>
    </row>
    <row r="16" spans="1:8" x14ac:dyDescent="0.25">
      <c r="A16" t="s">
        <v>154</v>
      </c>
      <c r="B16" t="s">
        <v>140</v>
      </c>
      <c r="C16" s="3" t="s">
        <v>156</v>
      </c>
      <c r="D16" t="s">
        <v>153</v>
      </c>
      <c r="E16" s="3" t="s">
        <v>157</v>
      </c>
      <c r="F16">
        <v>87</v>
      </c>
      <c r="G16" t="s">
        <v>155</v>
      </c>
      <c r="H16" t="str">
        <f t="shared" si="0"/>
        <v>update knockout_match set team1 = 'Turkey', team2 ='Senegal' where match_number = 87;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8C30F-2D18-4B4F-A637-6433A109E055}">
  <dimension ref="A1:C17"/>
  <sheetViews>
    <sheetView topLeftCell="A13" workbookViewId="0">
      <selection activeCell="C26" sqref="C26"/>
    </sheetView>
  </sheetViews>
  <sheetFormatPr defaultRowHeight="13.8" x14ac:dyDescent="0.25"/>
  <cols>
    <col min="1" max="1" width="12.69921875" bestFit="1" customWidth="1"/>
    <col min="2" max="2" width="15.69921875" bestFit="1" customWidth="1"/>
    <col min="3" max="3" width="15.5" bestFit="1" customWidth="1"/>
  </cols>
  <sheetData>
    <row r="1" spans="1:3" x14ac:dyDescent="0.25">
      <c r="A1" t="s">
        <v>1</v>
      </c>
      <c r="B1" t="s">
        <v>58</v>
      </c>
      <c r="C1" t="s">
        <v>59</v>
      </c>
    </row>
    <row r="2" spans="1:3" x14ac:dyDescent="0.25">
      <c r="A2" t="s">
        <v>62</v>
      </c>
      <c r="B2" t="s">
        <v>18</v>
      </c>
      <c r="C2" t="s">
        <v>19</v>
      </c>
    </row>
    <row r="3" spans="1:3" x14ac:dyDescent="0.25">
      <c r="A3" t="s">
        <v>63</v>
      </c>
      <c r="B3" t="s">
        <v>24</v>
      </c>
      <c r="C3" t="s">
        <v>25</v>
      </c>
    </row>
    <row r="4" spans="1:3" x14ac:dyDescent="0.25">
      <c r="A4" t="s">
        <v>64</v>
      </c>
      <c r="B4" t="s">
        <v>14</v>
      </c>
      <c r="C4" t="s">
        <v>15</v>
      </c>
    </row>
    <row r="5" spans="1:3" x14ac:dyDescent="0.25">
      <c r="A5" t="s">
        <v>65</v>
      </c>
      <c r="B5" t="s">
        <v>20</v>
      </c>
      <c r="C5" t="s">
        <v>21</v>
      </c>
    </row>
    <row r="6" spans="1:3" x14ac:dyDescent="0.25">
      <c r="A6" t="s">
        <v>66</v>
      </c>
      <c r="B6" t="s">
        <v>36</v>
      </c>
      <c r="C6" t="s">
        <v>37</v>
      </c>
    </row>
    <row r="7" spans="1:3" x14ac:dyDescent="0.25">
      <c r="A7" t="s">
        <v>67</v>
      </c>
      <c r="B7" t="s">
        <v>34</v>
      </c>
      <c r="C7" t="s">
        <v>35</v>
      </c>
    </row>
    <row r="8" spans="1:3" x14ac:dyDescent="0.25">
      <c r="A8" t="s">
        <v>68</v>
      </c>
      <c r="B8" t="s">
        <v>32</v>
      </c>
      <c r="C8" t="s">
        <v>33</v>
      </c>
    </row>
    <row r="9" spans="1:3" x14ac:dyDescent="0.25">
      <c r="A9" t="s">
        <v>69</v>
      </c>
      <c r="B9" t="s">
        <v>30</v>
      </c>
      <c r="C9" t="s">
        <v>31</v>
      </c>
    </row>
    <row r="10" spans="1:3" x14ac:dyDescent="0.25">
      <c r="A10" t="s">
        <v>70</v>
      </c>
      <c r="B10" t="s">
        <v>16</v>
      </c>
      <c r="C10" t="s">
        <v>17</v>
      </c>
    </row>
    <row r="11" spans="1:3" x14ac:dyDescent="0.25">
      <c r="A11" t="s">
        <v>71</v>
      </c>
      <c r="B11" t="s">
        <v>22</v>
      </c>
      <c r="C11" t="s">
        <v>23</v>
      </c>
    </row>
    <row r="12" spans="1:3" x14ac:dyDescent="0.25">
      <c r="A12" t="s">
        <v>72</v>
      </c>
      <c r="B12" t="s">
        <v>26</v>
      </c>
      <c r="C12" t="s">
        <v>27</v>
      </c>
    </row>
    <row r="13" spans="1:3" x14ac:dyDescent="0.25">
      <c r="A13" t="s">
        <v>73</v>
      </c>
      <c r="B13" t="s">
        <v>28</v>
      </c>
      <c r="C13" t="s">
        <v>29</v>
      </c>
    </row>
    <row r="14" spans="1:3" x14ac:dyDescent="0.25">
      <c r="A14" t="s">
        <v>74</v>
      </c>
      <c r="B14" t="s">
        <v>42</v>
      </c>
      <c r="C14" t="s">
        <v>43</v>
      </c>
    </row>
    <row r="15" spans="1:3" x14ac:dyDescent="0.25">
      <c r="A15" t="s">
        <v>75</v>
      </c>
      <c r="B15" t="s">
        <v>40</v>
      </c>
      <c r="C15" t="s">
        <v>41</v>
      </c>
    </row>
    <row r="16" spans="1:3" x14ac:dyDescent="0.25">
      <c r="A16" t="s">
        <v>76</v>
      </c>
      <c r="B16" t="s">
        <v>38</v>
      </c>
      <c r="C16" t="s">
        <v>39</v>
      </c>
    </row>
    <row r="17" spans="1:3" x14ac:dyDescent="0.25">
      <c r="A17" t="s">
        <v>77</v>
      </c>
      <c r="B17" t="s">
        <v>44</v>
      </c>
      <c r="C17" t="s">
        <v>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4A4FD-15FE-4E86-B306-CDCF953C4DBD}">
  <dimension ref="A1:K36"/>
  <sheetViews>
    <sheetView workbookViewId="0">
      <selection activeCell="K20" sqref="K20"/>
    </sheetView>
  </sheetViews>
  <sheetFormatPr defaultRowHeight="13.8" x14ac:dyDescent="0.25"/>
  <cols>
    <col min="1" max="1" width="14.69921875" bestFit="1" customWidth="1"/>
  </cols>
  <sheetData>
    <row r="1" spans="1:11" x14ac:dyDescent="0.25">
      <c r="A1" t="s">
        <v>94</v>
      </c>
    </row>
    <row r="2" spans="1:11" x14ac:dyDescent="0.25">
      <c r="A2" t="s">
        <v>95</v>
      </c>
      <c r="E2" t="s">
        <v>122</v>
      </c>
    </row>
    <row r="3" spans="1:11" x14ac:dyDescent="0.25">
      <c r="A3" t="s">
        <v>96</v>
      </c>
    </row>
    <row r="4" spans="1:11" x14ac:dyDescent="0.25">
      <c r="A4" t="s">
        <v>97</v>
      </c>
      <c r="E4" t="s">
        <v>112</v>
      </c>
      <c r="F4" t="s">
        <v>113</v>
      </c>
      <c r="G4" t="s">
        <v>114</v>
      </c>
      <c r="H4" t="s">
        <v>115</v>
      </c>
      <c r="I4" t="s">
        <v>116</v>
      </c>
      <c r="J4" t="s">
        <v>117</v>
      </c>
      <c r="K4" t="s">
        <v>118</v>
      </c>
    </row>
    <row r="5" spans="1:11" x14ac:dyDescent="0.25">
      <c r="A5" t="s">
        <v>98</v>
      </c>
      <c r="E5" t="s">
        <v>13</v>
      </c>
      <c r="F5">
        <v>104</v>
      </c>
      <c r="G5" t="s">
        <v>119</v>
      </c>
      <c r="H5" t="s">
        <v>119</v>
      </c>
      <c r="I5" t="s">
        <v>119</v>
      </c>
      <c r="J5" t="s">
        <v>119</v>
      </c>
      <c r="K5" t="s">
        <v>119</v>
      </c>
    </row>
    <row r="6" spans="1:11" x14ac:dyDescent="0.25">
      <c r="A6" t="s">
        <v>99</v>
      </c>
      <c r="E6" t="s">
        <v>10</v>
      </c>
      <c r="F6">
        <v>97</v>
      </c>
      <c r="G6" t="s">
        <v>119</v>
      </c>
      <c r="H6" t="s">
        <v>119</v>
      </c>
      <c r="I6" t="s">
        <v>119</v>
      </c>
      <c r="J6" t="s">
        <v>119</v>
      </c>
      <c r="K6">
        <v>101</v>
      </c>
    </row>
    <row r="7" spans="1:11" x14ac:dyDescent="0.25">
      <c r="A7" t="s">
        <v>100</v>
      </c>
      <c r="E7" t="s">
        <v>10</v>
      </c>
      <c r="F7">
        <v>98</v>
      </c>
      <c r="G7" t="s">
        <v>119</v>
      </c>
      <c r="H7" t="s">
        <v>119</v>
      </c>
      <c r="I7" t="s">
        <v>119</v>
      </c>
      <c r="J7" t="s">
        <v>119</v>
      </c>
      <c r="K7">
        <v>101</v>
      </c>
    </row>
    <row r="8" spans="1:11" x14ac:dyDescent="0.25">
      <c r="A8" t="s">
        <v>101</v>
      </c>
      <c r="E8" t="s">
        <v>10</v>
      </c>
      <c r="F8">
        <v>99</v>
      </c>
      <c r="G8" t="s">
        <v>119</v>
      </c>
      <c r="H8" t="s">
        <v>119</v>
      </c>
      <c r="I8" t="s">
        <v>119</v>
      </c>
      <c r="J8" t="s">
        <v>119</v>
      </c>
      <c r="K8">
        <v>102</v>
      </c>
    </row>
    <row r="9" spans="1:11" x14ac:dyDescent="0.25">
      <c r="A9" t="s">
        <v>102</v>
      </c>
      <c r="E9" t="s">
        <v>10</v>
      </c>
      <c r="F9">
        <v>100</v>
      </c>
      <c r="G9" t="s">
        <v>119</v>
      </c>
      <c r="H9" t="s">
        <v>119</v>
      </c>
      <c r="I9" t="s">
        <v>119</v>
      </c>
      <c r="J9" t="s">
        <v>119</v>
      </c>
      <c r="K9">
        <v>102</v>
      </c>
    </row>
    <row r="10" spans="1:11" x14ac:dyDescent="0.25">
      <c r="A10" t="s">
        <v>2</v>
      </c>
      <c r="E10" t="s">
        <v>61</v>
      </c>
      <c r="F10">
        <v>89</v>
      </c>
      <c r="G10" t="s">
        <v>119</v>
      </c>
      <c r="H10" t="s">
        <v>119</v>
      </c>
      <c r="I10" t="s">
        <v>119</v>
      </c>
      <c r="J10" t="s">
        <v>119</v>
      </c>
      <c r="K10">
        <v>97</v>
      </c>
    </row>
    <row r="11" spans="1:11" x14ac:dyDescent="0.25">
      <c r="A11" t="s">
        <v>3</v>
      </c>
      <c r="E11" t="s">
        <v>61</v>
      </c>
      <c r="F11">
        <v>90</v>
      </c>
      <c r="G11" t="s">
        <v>121</v>
      </c>
      <c r="H11" t="s">
        <v>126</v>
      </c>
      <c r="I11" t="s">
        <v>119</v>
      </c>
      <c r="J11" t="s">
        <v>119</v>
      </c>
      <c r="K11">
        <v>97</v>
      </c>
    </row>
    <row r="12" spans="1:11" x14ac:dyDescent="0.25">
      <c r="A12" t="s">
        <v>103</v>
      </c>
      <c r="E12" t="s">
        <v>61</v>
      </c>
      <c r="F12">
        <v>91</v>
      </c>
      <c r="G12" t="s">
        <v>119</v>
      </c>
      <c r="H12" t="s">
        <v>119</v>
      </c>
      <c r="I12" t="s">
        <v>119</v>
      </c>
      <c r="J12" t="s">
        <v>119</v>
      </c>
      <c r="K12">
        <v>99</v>
      </c>
    </row>
    <row r="13" spans="1:11" x14ac:dyDescent="0.25">
      <c r="A13" t="s">
        <v>104</v>
      </c>
      <c r="E13" t="s">
        <v>61</v>
      </c>
      <c r="F13">
        <v>92</v>
      </c>
      <c r="G13" t="s">
        <v>119</v>
      </c>
      <c r="H13" t="s">
        <v>119</v>
      </c>
      <c r="I13" t="s">
        <v>119</v>
      </c>
      <c r="J13" t="s">
        <v>119</v>
      </c>
      <c r="K13">
        <v>99</v>
      </c>
    </row>
    <row r="14" spans="1:11" x14ac:dyDescent="0.25">
      <c r="A14" t="s">
        <v>105</v>
      </c>
      <c r="E14" t="s">
        <v>61</v>
      </c>
      <c r="F14">
        <v>93</v>
      </c>
      <c r="G14" t="s">
        <v>119</v>
      </c>
      <c r="H14" t="s">
        <v>119</v>
      </c>
      <c r="I14" t="s">
        <v>119</v>
      </c>
      <c r="J14" t="s">
        <v>119</v>
      </c>
      <c r="K14">
        <v>98</v>
      </c>
    </row>
    <row r="15" spans="1:11" x14ac:dyDescent="0.25">
      <c r="A15" t="s">
        <v>106</v>
      </c>
      <c r="E15" t="s">
        <v>61</v>
      </c>
      <c r="F15">
        <v>94</v>
      </c>
      <c r="G15" t="s">
        <v>119</v>
      </c>
      <c r="H15" t="s">
        <v>119</v>
      </c>
      <c r="I15" t="s">
        <v>119</v>
      </c>
      <c r="J15" t="s">
        <v>119</v>
      </c>
      <c r="K15">
        <v>98</v>
      </c>
    </row>
    <row r="16" spans="1:11" x14ac:dyDescent="0.25">
      <c r="A16" t="s">
        <v>107</v>
      </c>
      <c r="E16" t="s">
        <v>61</v>
      </c>
      <c r="F16">
        <v>95</v>
      </c>
      <c r="G16" t="s">
        <v>119</v>
      </c>
      <c r="H16" t="s">
        <v>119</v>
      </c>
      <c r="I16" t="s">
        <v>119</v>
      </c>
      <c r="J16" t="s">
        <v>119</v>
      </c>
      <c r="K16">
        <v>100</v>
      </c>
    </row>
    <row r="17" spans="1:11" x14ac:dyDescent="0.25">
      <c r="A17" t="s">
        <v>108</v>
      </c>
      <c r="E17" t="s">
        <v>61</v>
      </c>
      <c r="F17">
        <v>96</v>
      </c>
      <c r="G17" t="s">
        <v>119</v>
      </c>
      <c r="H17" t="s">
        <v>119</v>
      </c>
      <c r="I17" t="s">
        <v>119</v>
      </c>
      <c r="J17" t="s">
        <v>119</v>
      </c>
      <c r="K17">
        <v>100</v>
      </c>
    </row>
    <row r="18" spans="1:11" x14ac:dyDescent="0.25">
      <c r="A18" t="s">
        <v>109</v>
      </c>
      <c r="E18" t="s">
        <v>60</v>
      </c>
      <c r="F18">
        <v>73</v>
      </c>
      <c r="G18" t="s">
        <v>120</v>
      </c>
      <c r="H18" t="s">
        <v>121</v>
      </c>
      <c r="I18" s="2">
        <v>46024</v>
      </c>
      <c r="J18" t="s">
        <v>121</v>
      </c>
      <c r="K18">
        <v>90</v>
      </c>
    </row>
    <row r="19" spans="1:11" x14ac:dyDescent="0.25">
      <c r="A19" t="s">
        <v>110</v>
      </c>
      <c r="E19" t="s">
        <v>60</v>
      </c>
      <c r="F19">
        <v>74</v>
      </c>
      <c r="G19" t="s">
        <v>119</v>
      </c>
      <c r="H19" t="s">
        <v>119</v>
      </c>
      <c r="I19" t="s">
        <v>119</v>
      </c>
      <c r="J19" t="s">
        <v>119</v>
      </c>
      <c r="K19">
        <v>89</v>
      </c>
    </row>
    <row r="20" spans="1:11" x14ac:dyDescent="0.25">
      <c r="A20" t="s">
        <v>111</v>
      </c>
      <c r="E20" t="s">
        <v>60</v>
      </c>
      <c r="F20">
        <v>75</v>
      </c>
      <c r="G20" t="s">
        <v>126</v>
      </c>
      <c r="H20" t="s">
        <v>127</v>
      </c>
      <c r="I20" t="s">
        <v>119</v>
      </c>
      <c r="J20" t="s">
        <v>119</v>
      </c>
      <c r="K20">
        <v>90</v>
      </c>
    </row>
    <row r="21" spans="1:11" x14ac:dyDescent="0.25">
      <c r="E21" t="s">
        <v>60</v>
      </c>
      <c r="F21">
        <v>76</v>
      </c>
      <c r="G21" t="s">
        <v>119</v>
      </c>
      <c r="H21" t="s">
        <v>119</v>
      </c>
      <c r="I21" t="s">
        <v>119</v>
      </c>
      <c r="J21" t="s">
        <v>119</v>
      </c>
      <c r="K21">
        <v>91</v>
      </c>
    </row>
    <row r="22" spans="1:11" x14ac:dyDescent="0.25">
      <c r="E22" t="s">
        <v>60</v>
      </c>
      <c r="F22">
        <v>77</v>
      </c>
      <c r="G22" t="s">
        <v>119</v>
      </c>
      <c r="H22" t="s">
        <v>119</v>
      </c>
      <c r="I22" t="s">
        <v>119</v>
      </c>
      <c r="J22" t="s">
        <v>119</v>
      </c>
      <c r="K22">
        <v>89</v>
      </c>
    </row>
    <row r="23" spans="1:11" x14ac:dyDescent="0.25">
      <c r="E23" t="s">
        <v>60</v>
      </c>
      <c r="F23">
        <v>78</v>
      </c>
      <c r="G23" t="s">
        <v>119</v>
      </c>
      <c r="H23" t="s">
        <v>119</v>
      </c>
      <c r="I23" t="s">
        <v>119</v>
      </c>
      <c r="J23" t="s">
        <v>119</v>
      </c>
      <c r="K23">
        <v>91</v>
      </c>
    </row>
    <row r="24" spans="1:11" x14ac:dyDescent="0.25">
      <c r="E24" t="s">
        <v>60</v>
      </c>
      <c r="F24">
        <v>79</v>
      </c>
      <c r="G24" t="s">
        <v>119</v>
      </c>
      <c r="H24" t="s">
        <v>119</v>
      </c>
      <c r="I24" t="s">
        <v>119</v>
      </c>
      <c r="J24" t="s">
        <v>119</v>
      </c>
      <c r="K24">
        <v>92</v>
      </c>
    </row>
    <row r="25" spans="1:11" x14ac:dyDescent="0.25">
      <c r="E25" t="s">
        <v>60</v>
      </c>
      <c r="F25">
        <v>80</v>
      </c>
      <c r="G25" t="s">
        <v>119</v>
      </c>
      <c r="H25" t="s">
        <v>119</v>
      </c>
      <c r="I25" t="s">
        <v>119</v>
      </c>
      <c r="J25" t="s">
        <v>119</v>
      </c>
      <c r="K25">
        <v>92</v>
      </c>
    </row>
    <row r="26" spans="1:11" x14ac:dyDescent="0.25">
      <c r="E26" t="s">
        <v>60</v>
      </c>
      <c r="F26">
        <v>81</v>
      </c>
      <c r="G26" t="s">
        <v>119</v>
      </c>
      <c r="H26" t="s">
        <v>119</v>
      </c>
      <c r="I26" t="s">
        <v>119</v>
      </c>
      <c r="J26" t="s">
        <v>119</v>
      </c>
      <c r="K26">
        <v>94</v>
      </c>
    </row>
    <row r="27" spans="1:11" x14ac:dyDescent="0.25">
      <c r="E27" t="s">
        <v>60</v>
      </c>
      <c r="F27">
        <v>82</v>
      </c>
      <c r="G27" t="s">
        <v>119</v>
      </c>
      <c r="H27" t="s">
        <v>119</v>
      </c>
      <c r="I27" t="s">
        <v>119</v>
      </c>
      <c r="J27" t="s">
        <v>119</v>
      </c>
      <c r="K27">
        <v>94</v>
      </c>
    </row>
    <row r="28" spans="1:11" x14ac:dyDescent="0.25">
      <c r="E28" t="s">
        <v>60</v>
      </c>
      <c r="F28">
        <v>83</v>
      </c>
      <c r="G28" t="s">
        <v>119</v>
      </c>
      <c r="H28" t="s">
        <v>119</v>
      </c>
      <c r="I28" t="s">
        <v>119</v>
      </c>
      <c r="J28" t="s">
        <v>119</v>
      </c>
      <c r="K28">
        <v>93</v>
      </c>
    </row>
    <row r="29" spans="1:11" x14ac:dyDescent="0.25">
      <c r="E29" t="s">
        <v>60</v>
      </c>
      <c r="F29">
        <v>84</v>
      </c>
      <c r="G29" t="s">
        <v>119</v>
      </c>
      <c r="H29" t="s">
        <v>119</v>
      </c>
      <c r="I29" t="s">
        <v>119</v>
      </c>
      <c r="J29" t="s">
        <v>119</v>
      </c>
      <c r="K29">
        <v>93</v>
      </c>
    </row>
    <row r="30" spans="1:11" x14ac:dyDescent="0.25">
      <c r="E30" t="s">
        <v>60</v>
      </c>
      <c r="F30">
        <v>85</v>
      </c>
      <c r="G30" t="s">
        <v>119</v>
      </c>
      <c r="H30" t="s">
        <v>119</v>
      </c>
      <c r="I30" t="s">
        <v>119</v>
      </c>
      <c r="J30" t="s">
        <v>119</v>
      </c>
      <c r="K30">
        <v>96</v>
      </c>
    </row>
    <row r="31" spans="1:11" x14ac:dyDescent="0.25">
      <c r="E31" t="s">
        <v>60</v>
      </c>
      <c r="F31">
        <v>86</v>
      </c>
      <c r="G31" t="s">
        <v>119</v>
      </c>
      <c r="H31" t="s">
        <v>119</v>
      </c>
      <c r="I31" t="s">
        <v>119</v>
      </c>
      <c r="J31" t="s">
        <v>119</v>
      </c>
      <c r="K31">
        <v>95</v>
      </c>
    </row>
    <row r="32" spans="1:11" x14ac:dyDescent="0.25">
      <c r="E32" t="s">
        <v>60</v>
      </c>
      <c r="F32">
        <v>87</v>
      </c>
      <c r="G32" t="s">
        <v>119</v>
      </c>
      <c r="H32" t="s">
        <v>119</v>
      </c>
      <c r="I32" t="s">
        <v>119</v>
      </c>
      <c r="J32" t="s">
        <v>119</v>
      </c>
      <c r="K32">
        <v>96</v>
      </c>
    </row>
    <row r="33" spans="5:11" x14ac:dyDescent="0.25">
      <c r="E33" t="s">
        <v>60</v>
      </c>
      <c r="F33">
        <v>88</v>
      </c>
      <c r="G33" t="s">
        <v>119</v>
      </c>
      <c r="H33" t="s">
        <v>119</v>
      </c>
      <c r="I33" t="s">
        <v>119</v>
      </c>
      <c r="J33" t="s">
        <v>119</v>
      </c>
      <c r="K33">
        <v>95</v>
      </c>
    </row>
    <row r="34" spans="5:11" x14ac:dyDescent="0.25">
      <c r="E34" t="s">
        <v>11</v>
      </c>
      <c r="F34">
        <v>101</v>
      </c>
      <c r="G34" t="s">
        <v>119</v>
      </c>
      <c r="H34" t="s">
        <v>119</v>
      </c>
      <c r="I34" t="s">
        <v>119</v>
      </c>
      <c r="J34" t="s">
        <v>119</v>
      </c>
      <c r="K34">
        <v>104</v>
      </c>
    </row>
    <row r="35" spans="5:11" x14ac:dyDescent="0.25">
      <c r="E35" t="s">
        <v>11</v>
      </c>
      <c r="F35">
        <v>102</v>
      </c>
      <c r="G35" t="s">
        <v>119</v>
      </c>
      <c r="H35" t="s">
        <v>119</v>
      </c>
      <c r="I35" t="s">
        <v>119</v>
      </c>
      <c r="J35" t="s">
        <v>119</v>
      </c>
      <c r="K35">
        <v>104</v>
      </c>
    </row>
    <row r="36" spans="5:11" x14ac:dyDescent="0.25">
      <c r="E36" t="s">
        <v>12</v>
      </c>
      <c r="F36">
        <v>103</v>
      </c>
      <c r="G36" t="s">
        <v>119</v>
      </c>
      <c r="H36" t="s">
        <v>119</v>
      </c>
      <c r="I36" t="s">
        <v>119</v>
      </c>
      <c r="J36" t="s">
        <v>119</v>
      </c>
      <c r="K36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Sheet4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Joyce Wan</dc:creator>
  <cp:lastModifiedBy>Joyce Wan</cp:lastModifiedBy>
  <dcterms:created xsi:type="dcterms:W3CDTF">2026-06-10T03:22:04Z</dcterms:created>
  <dcterms:modified xsi:type="dcterms:W3CDTF">2026-06-12T01:59:18Z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95efa48-3542-40a0-935f-e5728a0bb1e7_Enabled">
    <vt:lpwstr>true</vt:lpwstr>
  </property>
  <property fmtid="{D5CDD505-2E9C-101B-9397-08002B2CF9AE}" pid="3" name="MSIP_Label_895efa48-3542-40a0-935f-e5728a0bb1e7_SetDate">
    <vt:lpwstr>2026-06-10T03:25:50Z</vt:lpwstr>
  </property>
  <property fmtid="{D5CDD505-2E9C-101B-9397-08002B2CF9AE}" pid="4" name="MSIP_Label_895efa48-3542-40a0-935f-e5728a0bb1e7_Method">
    <vt:lpwstr>Standard</vt:lpwstr>
  </property>
  <property fmtid="{D5CDD505-2E9C-101B-9397-08002B2CF9AE}" pid="5" name="MSIP_Label_895efa48-3542-40a0-935f-e5728a0bb1e7_Name">
    <vt:lpwstr>General</vt:lpwstr>
  </property>
  <property fmtid="{D5CDD505-2E9C-101B-9397-08002B2CF9AE}" pid="6" name="MSIP_Label_895efa48-3542-40a0-935f-e5728a0bb1e7_SiteId">
    <vt:lpwstr>fb052de5-3344-415c-a8e0-3b26eed71f5a</vt:lpwstr>
  </property>
  <property fmtid="{D5CDD505-2E9C-101B-9397-08002B2CF9AE}" pid="7" name="MSIP_Label_895efa48-3542-40a0-935f-e5728a0bb1e7_ActionId">
    <vt:lpwstr>84bc11e8-dff5-4d67-ba53-39878d111913</vt:lpwstr>
  </property>
  <property fmtid="{D5CDD505-2E9C-101B-9397-08002B2CF9AE}" pid="8" name="MSIP_Label_895efa48-3542-40a0-935f-e5728a0bb1e7_ContentBits">
    <vt:lpwstr>0</vt:lpwstr>
  </property>
  <property fmtid="{D5CDD505-2E9C-101B-9397-08002B2CF9AE}" pid="9" name="MSIP_Label_895efa48-3542-40a0-935f-e5728a0bb1e7_Tag">
    <vt:lpwstr>10, 3, 0, 1</vt:lpwstr>
  </property>
</Properties>
</file>